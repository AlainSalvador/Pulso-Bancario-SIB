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sl\Desktop\"/>
    </mc:Choice>
  </mc:AlternateContent>
  <xr:revisionPtr revIDLastSave="0" documentId="8_{639C1A1E-ADC9-4883-9A7F-530B3D182C5B}" xr6:coauthVersionLast="47" xr6:coauthVersionMax="47" xr10:uidLastSave="{00000000-0000-0000-0000-000000000000}"/>
  <bookViews>
    <workbookView xWindow="-108" yWindow="-108" windowWidth="23256" windowHeight="12456" xr2:uid="{98CC1226-51B3-4969-8258-45743CA7B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1" l="1"/>
  <c r="L11" i="1"/>
  <c r="M10" i="1"/>
  <c r="L10" i="1"/>
  <c r="M9" i="1"/>
  <c r="L9" i="1"/>
  <c r="L8" i="1"/>
  <c r="M8" i="1"/>
  <c r="M7" i="1"/>
  <c r="L7" i="1"/>
  <c r="M6" i="1"/>
  <c r="L6" i="1"/>
  <c r="E17" i="1"/>
  <c r="E11" i="1"/>
  <c r="D17" i="1"/>
  <c r="D11" i="1"/>
  <c r="F11" i="1"/>
  <c r="E24" i="1"/>
  <c r="E21" i="1"/>
  <c r="D21" i="1"/>
</calcChain>
</file>

<file path=xl/sharedStrings.xml><?xml version="1.0" encoding="utf-8"?>
<sst xmlns="http://schemas.openxmlformats.org/spreadsheetml/2006/main" count="49" uniqueCount="49">
  <si>
    <t>Banco Industrial, S.A.</t>
  </si>
  <si>
    <t>Principales Rubros del Balance General y del Estado de Resultados</t>
  </si>
  <si>
    <t>Miles de Quetzales</t>
  </si>
  <si>
    <t>Descripción</t>
  </si>
  <si>
    <t>Variación 2024-2025</t>
  </si>
  <si>
    <t>Absoluta</t>
  </si>
  <si>
    <t>Relativa</t>
  </si>
  <si>
    <t>Balance General al 31 de Diciembre de cada año</t>
  </si>
  <si>
    <t>Disponibilidades</t>
  </si>
  <si>
    <t>Inversiones</t>
  </si>
  <si>
    <t>Cartera de créditos</t>
  </si>
  <si>
    <t>otros</t>
  </si>
  <si>
    <t>Total de Activo</t>
  </si>
  <si>
    <t>Obligaciones Depositarias</t>
  </si>
  <si>
    <t>Créditos Obtenidos</t>
  </si>
  <si>
    <t>Otros Pasivos</t>
  </si>
  <si>
    <t>Otras Cuentas Acreedoras</t>
  </si>
  <si>
    <t>Capital Contable</t>
  </si>
  <si>
    <t>Total Pasivo y Capital</t>
  </si>
  <si>
    <t>Estado de Resultados del 1 de Enero al 31 de Diciembre de Cada Año</t>
  </si>
  <si>
    <t>Productos Financieros</t>
  </si>
  <si>
    <t>(-) Gastos Financieros</t>
  </si>
  <si>
    <t>Margen por Inversión</t>
  </si>
  <si>
    <t>Productos por Servicios</t>
  </si>
  <si>
    <t>(-) Gastos por Servicios</t>
  </si>
  <si>
    <t>Margen por servicios</t>
  </si>
  <si>
    <t>Margen de Otros Productos y Gastos de Operación</t>
  </si>
  <si>
    <t>Margen Operacional Bruto</t>
  </si>
  <si>
    <t>(-) Gastos de Administración</t>
  </si>
  <si>
    <t>Margen Operacional Neto</t>
  </si>
  <si>
    <t>Productos y Gastos Extraordinarios</t>
  </si>
  <si>
    <t>Productos y Gastos de Ejercicios Anteriores</t>
  </si>
  <si>
    <t>Ganancia (Pérdida) Bruta</t>
  </si>
  <si>
    <t>Ganancia (Pérdida) Neta</t>
  </si>
  <si>
    <t>(-) Impuesto Sobre la Renta</t>
  </si>
  <si>
    <t>Indicador</t>
  </si>
  <si>
    <t>Fórmula</t>
  </si>
  <si>
    <t>Solvencia</t>
  </si>
  <si>
    <t>Liquidez Básica</t>
  </si>
  <si>
    <t>ROA</t>
  </si>
  <si>
    <t>ROE</t>
  </si>
  <si>
    <t>Eficiencia</t>
  </si>
  <si>
    <t>Intermediación</t>
  </si>
  <si>
    <t>capital contable / Total de activo</t>
  </si>
  <si>
    <t>Disponibilidades / obligaciones depositarias</t>
  </si>
  <si>
    <t>Ganancia neta / capital contable</t>
  </si>
  <si>
    <t>Ganancia neta / Total de activo</t>
  </si>
  <si>
    <t>Gastos de administración / Margen operacional bruto</t>
  </si>
  <si>
    <t>Cartera de créditos / Obligaciones depositarias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</si>
</sst>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0" xfId="0" applyBorder="1"/>
    <xf numFmtId="3" fontId="1" fillId="0" borderId="0" xfId="0" applyNumberFormat="1" applyFont="1" applyBorder="1"/>
    <xf numFmtId="0" fontId="1" fillId="0" borderId="2" xfId="0" applyFont="1" applyBorder="1"/>
    <xf numFmtId="3" fontId="0" fillId="0" borderId="0" xfId="0" applyNumberFormat="1" applyBorder="1"/>
    <xf numFmtId="0" fontId="0" fillId="0" borderId="2" xfId="0" applyFont="1" applyBorder="1"/>
    <xf numFmtId="0" fontId="1" fillId="2" borderId="6" xfId="0" applyFont="1" applyFill="1" applyBorder="1"/>
    <xf numFmtId="0" fontId="0" fillId="2" borderId="7" xfId="0" applyFill="1" applyBorder="1"/>
    <xf numFmtId="0" fontId="1" fillId="2" borderId="7" xfId="0" applyFont="1" applyFill="1" applyBorder="1"/>
    <xf numFmtId="0" fontId="1" fillId="2" borderId="1" xfId="0" applyFont="1" applyFill="1" applyBorder="1"/>
    <xf numFmtId="3" fontId="1" fillId="2" borderId="7" xfId="0" applyNumberFormat="1" applyFont="1" applyFill="1" applyBorder="1"/>
    <xf numFmtId="10" fontId="1" fillId="2" borderId="8" xfId="0" applyNumberFormat="1" applyFont="1" applyFill="1" applyBorder="1"/>
    <xf numFmtId="3" fontId="1" fillId="2" borderId="6" xfId="0" applyNumberFormat="1" applyFont="1" applyFill="1" applyBorder="1"/>
    <xf numFmtId="0" fontId="1" fillId="2" borderId="2" xfId="0" applyFont="1" applyFill="1" applyBorder="1"/>
    <xf numFmtId="0" fontId="0" fillId="2" borderId="0" xfId="0" applyFill="1" applyBorder="1"/>
    <xf numFmtId="3" fontId="1" fillId="2" borderId="0" xfId="0" applyNumberFormat="1" applyFont="1" applyFill="1" applyBorder="1"/>
    <xf numFmtId="0" fontId="0" fillId="3" borderId="2" xfId="0" applyFill="1" applyBorder="1"/>
    <xf numFmtId="0" fontId="0" fillId="3" borderId="3" xfId="0" applyFill="1" applyBorder="1"/>
    <xf numFmtId="3" fontId="0" fillId="3" borderId="2" xfId="0" applyNumberFormat="1" applyFill="1" applyBorder="1"/>
    <xf numFmtId="10" fontId="0" fillId="3" borderId="3" xfId="0" applyNumberFormat="1" applyFill="1" applyBorder="1"/>
    <xf numFmtId="3" fontId="1" fillId="3" borderId="2" xfId="0" applyNumberFormat="1" applyFont="1" applyFill="1" applyBorder="1"/>
    <xf numFmtId="10" fontId="1" fillId="3" borderId="3" xfId="0" applyNumberFormat="1" applyFont="1" applyFill="1" applyBorder="1"/>
    <xf numFmtId="0" fontId="1" fillId="0" borderId="4" xfId="0" applyFont="1" applyBorder="1"/>
    <xf numFmtId="0" fontId="0" fillId="0" borderId="9" xfId="0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8" fontId="0" fillId="4" borderId="2" xfId="0" applyNumberFormat="1" applyFill="1" applyBorder="1"/>
    <xf numFmtId="168" fontId="0" fillId="4" borderId="3" xfId="0" applyNumberFormat="1" applyFill="1" applyBorder="1"/>
    <xf numFmtId="168" fontId="0" fillId="4" borderId="4" xfId="0" applyNumberFormat="1" applyFill="1" applyBorder="1"/>
    <xf numFmtId="168" fontId="0" fillId="4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975F-D8C6-4732-8544-A54BC03ACA40}">
  <dimension ref="B1:M33"/>
  <sheetViews>
    <sheetView tabSelected="1" topLeftCell="B1" workbookViewId="0">
      <selection activeCell="L10" sqref="L10"/>
    </sheetView>
  </sheetViews>
  <sheetFormatPr defaultRowHeight="14.4" x14ac:dyDescent="0.3"/>
  <cols>
    <col min="2" max="2" width="59.44140625" customWidth="1"/>
    <col min="4" max="4" width="11.109375" bestFit="1" customWidth="1"/>
    <col min="5" max="5" width="11.6640625" customWidth="1"/>
    <col min="6" max="6" width="10" customWidth="1"/>
    <col min="10" max="10" width="14.77734375" customWidth="1"/>
    <col min="11" max="11" width="43.33203125" customWidth="1"/>
    <col min="12" max="12" width="7" customWidth="1"/>
    <col min="13" max="13" width="9.88671875" customWidth="1"/>
  </cols>
  <sheetData>
    <row r="1" spans="2:13" ht="21" x14ac:dyDescent="0.4">
      <c r="D1" s="1" t="s">
        <v>0</v>
      </c>
    </row>
    <row r="2" spans="2:13" x14ac:dyDescent="0.3">
      <c r="E2" s="2" t="s">
        <v>1</v>
      </c>
    </row>
    <row r="3" spans="2:13" x14ac:dyDescent="0.3">
      <c r="D3" s="2" t="s">
        <v>2</v>
      </c>
    </row>
    <row r="4" spans="2:13" x14ac:dyDescent="0.3">
      <c r="F4" t="s">
        <v>4</v>
      </c>
    </row>
    <row r="5" spans="2:13" ht="15.6" x14ac:dyDescent="0.3">
      <c r="B5" s="9" t="s">
        <v>3</v>
      </c>
      <c r="C5" s="10"/>
      <c r="D5" s="11">
        <v>2024</v>
      </c>
      <c r="E5" s="11">
        <v>2025</v>
      </c>
      <c r="F5" s="12" t="s">
        <v>5</v>
      </c>
      <c r="G5" s="12" t="s">
        <v>6</v>
      </c>
      <c r="J5" s="27" t="s">
        <v>35</v>
      </c>
      <c r="K5" s="28" t="s">
        <v>36</v>
      </c>
      <c r="L5" s="27">
        <v>2024</v>
      </c>
      <c r="M5" s="29">
        <v>2025</v>
      </c>
    </row>
    <row r="6" spans="2:13" x14ac:dyDescent="0.3">
      <c r="B6" s="6" t="s">
        <v>7</v>
      </c>
      <c r="C6" s="4"/>
      <c r="D6" s="4"/>
      <c r="E6" s="4"/>
      <c r="F6" s="19"/>
      <c r="G6" s="20"/>
      <c r="J6" s="6" t="s">
        <v>37</v>
      </c>
      <c r="K6" s="4" t="s">
        <v>43</v>
      </c>
      <c r="L6" s="30">
        <f>(D16/D11)*100</f>
        <v>8.5069132318371743</v>
      </c>
      <c r="M6" s="31">
        <f>(E16/E11)*100</f>
        <v>8.1066009529415606</v>
      </c>
    </row>
    <row r="7" spans="2:13" x14ac:dyDescent="0.3">
      <c r="B7" s="3" t="s">
        <v>8</v>
      </c>
      <c r="C7" s="4"/>
      <c r="D7" s="7">
        <v>20468000</v>
      </c>
      <c r="E7" s="7">
        <v>24406738</v>
      </c>
      <c r="F7" s="21">
        <v>3938738</v>
      </c>
      <c r="G7" s="22">
        <v>0.192</v>
      </c>
      <c r="J7" s="6" t="s">
        <v>38</v>
      </c>
      <c r="K7" s="4" t="s">
        <v>44</v>
      </c>
      <c r="L7" s="30">
        <f>(D7/D12)*100</f>
        <v>17.546879392774414</v>
      </c>
      <c r="M7" s="31">
        <f>(E7/E12)*100</f>
        <v>19.000426550803951</v>
      </c>
    </row>
    <row r="8" spans="2:13" x14ac:dyDescent="0.3">
      <c r="B8" s="3" t="s">
        <v>9</v>
      </c>
      <c r="C8" s="4"/>
      <c r="D8" s="7">
        <v>35484254</v>
      </c>
      <c r="E8" s="7">
        <v>49044854</v>
      </c>
      <c r="F8" s="21">
        <v>13560600</v>
      </c>
      <c r="G8" s="22">
        <v>0.38200000000000001</v>
      </c>
      <c r="J8" s="6" t="s">
        <v>40</v>
      </c>
      <c r="K8" s="4" t="s">
        <v>45</v>
      </c>
      <c r="L8" s="30">
        <f>(D33/D16)*100</f>
        <v>19.598766266276868</v>
      </c>
      <c r="M8" s="31">
        <f>(E33/E16)*100</f>
        <v>16.06426327766145</v>
      </c>
    </row>
    <row r="9" spans="2:13" x14ac:dyDescent="0.3">
      <c r="B9" s="3" t="s">
        <v>10</v>
      </c>
      <c r="C9" s="4"/>
      <c r="D9" s="7">
        <v>98101329</v>
      </c>
      <c r="E9" s="7">
        <v>104167657</v>
      </c>
      <c r="F9" s="21">
        <v>6066328</v>
      </c>
      <c r="G9" s="22">
        <v>6.2E-2</v>
      </c>
      <c r="J9" s="6" t="s">
        <v>39</v>
      </c>
      <c r="K9" s="4" t="s">
        <v>46</v>
      </c>
      <c r="L9" s="30">
        <f>(D33/D11)*100</f>
        <v>1.6672500407827473</v>
      </c>
      <c r="M9" s="31">
        <f>(E33/E11)*100</f>
        <v>1.3022657199499441</v>
      </c>
    </row>
    <row r="10" spans="2:13" x14ac:dyDescent="0.3">
      <c r="B10" s="3" t="s">
        <v>11</v>
      </c>
      <c r="C10" s="4"/>
      <c r="D10" s="7">
        <v>6872309</v>
      </c>
      <c r="E10" s="7">
        <v>7081689</v>
      </c>
      <c r="F10" s="21">
        <v>209380</v>
      </c>
      <c r="G10" s="22">
        <v>0.03</v>
      </c>
      <c r="J10" s="6" t="s">
        <v>41</v>
      </c>
      <c r="K10" s="4" t="s">
        <v>47</v>
      </c>
      <c r="L10" s="30">
        <f>(D27/D26)*100</f>
        <v>57.522085961472577</v>
      </c>
      <c r="M10" s="31">
        <f>(E27/E26)*100</f>
        <v>62.54794213398025</v>
      </c>
    </row>
    <row r="11" spans="2:13" x14ac:dyDescent="0.3">
      <c r="B11" s="9" t="s">
        <v>12</v>
      </c>
      <c r="C11" s="10"/>
      <c r="D11" s="13">
        <f>D7+D8+D9+D10</f>
        <v>160925892</v>
      </c>
      <c r="E11" s="13">
        <f>E7+E8+E9+E10</f>
        <v>184700938</v>
      </c>
      <c r="F11" s="15">
        <f>F7+F8+F9+F10</f>
        <v>23775046</v>
      </c>
      <c r="G11" s="14">
        <v>0.14799999999999999</v>
      </c>
      <c r="J11" s="25" t="s">
        <v>42</v>
      </c>
      <c r="K11" s="26" t="s">
        <v>48</v>
      </c>
      <c r="L11" s="32">
        <f>(D9/D12)*100</f>
        <v>84.100654105622567</v>
      </c>
      <c r="M11" s="33">
        <f>(E9/E12)*100</f>
        <v>81.093586361185956</v>
      </c>
    </row>
    <row r="12" spans="2:13" x14ac:dyDescent="0.3">
      <c r="B12" s="3" t="s">
        <v>13</v>
      </c>
      <c r="C12" s="4"/>
      <c r="D12" s="7">
        <v>116647522</v>
      </c>
      <c r="E12" s="7">
        <v>128453632</v>
      </c>
      <c r="F12" s="21">
        <v>11806110</v>
      </c>
      <c r="G12" s="22">
        <v>0.10100000000000001</v>
      </c>
    </row>
    <row r="13" spans="2:13" x14ac:dyDescent="0.3">
      <c r="B13" s="3" t="s">
        <v>14</v>
      </c>
      <c r="C13" s="4"/>
      <c r="D13" s="7">
        <v>25091676</v>
      </c>
      <c r="E13" s="7">
        <v>34832588</v>
      </c>
      <c r="F13" s="21">
        <v>9740912</v>
      </c>
      <c r="G13" s="22">
        <v>0.38800000000000001</v>
      </c>
    </row>
    <row r="14" spans="2:13" x14ac:dyDescent="0.3">
      <c r="B14" s="3" t="s">
        <v>15</v>
      </c>
      <c r="C14" s="4"/>
      <c r="D14" s="7">
        <v>5262880</v>
      </c>
      <c r="E14" s="7">
        <v>6154808</v>
      </c>
      <c r="F14" s="21">
        <v>891929</v>
      </c>
      <c r="G14" s="22">
        <v>0.16900000000000001</v>
      </c>
    </row>
    <row r="15" spans="2:13" x14ac:dyDescent="0.3">
      <c r="B15" s="3" t="s">
        <v>16</v>
      </c>
      <c r="C15" s="4"/>
      <c r="D15" s="7">
        <v>233987</v>
      </c>
      <c r="E15" s="7">
        <v>286941</v>
      </c>
      <c r="F15" s="21">
        <v>52953</v>
      </c>
      <c r="G15" s="22">
        <v>0.22600000000000001</v>
      </c>
    </row>
    <row r="16" spans="2:13" x14ac:dyDescent="0.3">
      <c r="B16" s="6" t="s">
        <v>17</v>
      </c>
      <c r="C16" s="4"/>
      <c r="D16" s="7">
        <v>13689826</v>
      </c>
      <c r="E16" s="7">
        <v>14972968</v>
      </c>
      <c r="F16" s="21">
        <v>1283141</v>
      </c>
      <c r="G16" s="22">
        <v>9.4E-2</v>
      </c>
    </row>
    <row r="17" spans="2:7" x14ac:dyDescent="0.3">
      <c r="B17" s="9" t="s">
        <v>18</v>
      </c>
      <c r="C17" s="10"/>
      <c r="D17" s="13">
        <f>D12+D13+D14+D15+D16</f>
        <v>160925891</v>
      </c>
      <c r="E17" s="13">
        <f>E12+E13+E14+E15+E16</f>
        <v>184700937</v>
      </c>
      <c r="F17" s="15">
        <v>23775045</v>
      </c>
      <c r="G17" s="14">
        <v>0.14799999999999999</v>
      </c>
    </row>
    <row r="18" spans="2:7" x14ac:dyDescent="0.3">
      <c r="B18" s="6" t="s">
        <v>19</v>
      </c>
      <c r="C18" s="4"/>
      <c r="D18" s="4"/>
      <c r="E18" s="4"/>
      <c r="F18" s="19"/>
      <c r="G18" s="20"/>
    </row>
    <row r="19" spans="2:7" x14ac:dyDescent="0.3">
      <c r="B19" s="8" t="s">
        <v>20</v>
      </c>
      <c r="C19" s="4"/>
      <c r="D19" s="7">
        <v>11606084</v>
      </c>
      <c r="E19" s="7">
        <v>13084660</v>
      </c>
      <c r="F19" s="21">
        <v>1478575</v>
      </c>
      <c r="G19" s="22">
        <v>0.127</v>
      </c>
    </row>
    <row r="20" spans="2:7" x14ac:dyDescent="0.3">
      <c r="B20" s="8" t="s">
        <v>21</v>
      </c>
      <c r="C20" s="4"/>
      <c r="D20" s="7">
        <v>5740670</v>
      </c>
      <c r="E20" s="7">
        <v>6367437</v>
      </c>
      <c r="F20" s="21">
        <v>626768</v>
      </c>
      <c r="G20" s="22">
        <v>0.109</v>
      </c>
    </row>
    <row r="21" spans="2:7" x14ac:dyDescent="0.3">
      <c r="B21" s="16" t="s">
        <v>22</v>
      </c>
      <c r="C21" s="17"/>
      <c r="D21" s="18">
        <f>D19-D20</f>
        <v>5865414</v>
      </c>
      <c r="E21" s="18">
        <f>E19-E20</f>
        <v>6717223</v>
      </c>
      <c r="F21" s="23">
        <v>851807</v>
      </c>
      <c r="G21" s="24">
        <v>0.14499999999999999</v>
      </c>
    </row>
    <row r="22" spans="2:7" x14ac:dyDescent="0.3">
      <c r="B22" s="8" t="s">
        <v>23</v>
      </c>
      <c r="C22" s="4"/>
      <c r="D22" s="7">
        <v>687442</v>
      </c>
      <c r="E22" s="7">
        <v>721679</v>
      </c>
      <c r="F22" s="21">
        <v>34238</v>
      </c>
      <c r="G22" s="22">
        <v>0.05</v>
      </c>
    </row>
    <row r="23" spans="2:7" x14ac:dyDescent="0.3">
      <c r="B23" s="8" t="s">
        <v>24</v>
      </c>
      <c r="C23" s="4"/>
      <c r="D23" s="7">
        <v>22959</v>
      </c>
      <c r="E23" s="7">
        <v>31371</v>
      </c>
      <c r="F23" s="21">
        <v>8413</v>
      </c>
      <c r="G23" s="22">
        <v>0.36599999999999999</v>
      </c>
    </row>
    <row r="24" spans="2:7" x14ac:dyDescent="0.3">
      <c r="B24" s="16" t="s">
        <v>25</v>
      </c>
      <c r="C24" s="17"/>
      <c r="D24" s="18">
        <v>664483</v>
      </c>
      <c r="E24" s="18">
        <f>E22-E23</f>
        <v>690308</v>
      </c>
      <c r="F24" s="23">
        <v>25825</v>
      </c>
      <c r="G24" s="24">
        <v>3.9E-2</v>
      </c>
    </row>
    <row r="25" spans="2:7" x14ac:dyDescent="0.3">
      <c r="B25" s="6" t="s">
        <v>26</v>
      </c>
      <c r="C25" s="4"/>
      <c r="D25" s="5">
        <v>142441</v>
      </c>
      <c r="E25" s="5">
        <v>-512499</v>
      </c>
      <c r="F25" s="23">
        <v>-654940</v>
      </c>
      <c r="G25" s="24">
        <v>-4.5979999999999999</v>
      </c>
    </row>
    <row r="26" spans="2:7" x14ac:dyDescent="0.3">
      <c r="B26" s="16" t="s">
        <v>27</v>
      </c>
      <c r="C26" s="17"/>
      <c r="D26" s="18">
        <v>6672338</v>
      </c>
      <c r="E26" s="18">
        <v>6895031</v>
      </c>
      <c r="F26" s="23">
        <v>222692</v>
      </c>
      <c r="G26" s="24">
        <v>3.3000000000000002E-2</v>
      </c>
    </row>
    <row r="27" spans="2:7" x14ac:dyDescent="0.3">
      <c r="B27" s="3" t="s">
        <v>28</v>
      </c>
      <c r="C27" s="4"/>
      <c r="D27" s="7">
        <v>3838068</v>
      </c>
      <c r="E27" s="7">
        <v>4312700</v>
      </c>
      <c r="F27" s="21">
        <v>474633</v>
      </c>
      <c r="G27" s="22">
        <v>0.124</v>
      </c>
    </row>
    <row r="28" spans="2:7" x14ac:dyDescent="0.3">
      <c r="B28" s="16" t="s">
        <v>29</v>
      </c>
      <c r="C28" s="17"/>
      <c r="D28" s="18">
        <v>2834271</v>
      </c>
      <c r="E28" s="18">
        <v>2582330</v>
      </c>
      <c r="F28" s="23">
        <v>-251941</v>
      </c>
      <c r="G28" s="24">
        <v>-8.8999999999999996E-2</v>
      </c>
    </row>
    <row r="29" spans="2:7" x14ac:dyDescent="0.3">
      <c r="B29" s="3" t="s">
        <v>30</v>
      </c>
      <c r="C29" s="4"/>
      <c r="D29" s="7">
        <v>100068</v>
      </c>
      <c r="E29" s="7">
        <v>90696</v>
      </c>
      <c r="F29" s="21">
        <v>-9372</v>
      </c>
      <c r="G29" s="22">
        <v>-9.4E-2</v>
      </c>
    </row>
    <row r="30" spans="2:7" x14ac:dyDescent="0.3">
      <c r="B30" s="3" t="s">
        <v>31</v>
      </c>
      <c r="C30" s="4"/>
      <c r="D30" s="7">
        <v>33880</v>
      </c>
      <c r="E30" s="7">
        <v>26902</v>
      </c>
      <c r="F30" s="21">
        <v>-6978</v>
      </c>
      <c r="G30" s="22">
        <v>-0.20599999999999999</v>
      </c>
    </row>
    <row r="31" spans="2:7" x14ac:dyDescent="0.3">
      <c r="B31" s="16" t="s">
        <v>32</v>
      </c>
      <c r="C31" s="17"/>
      <c r="D31" s="18">
        <v>2968219</v>
      </c>
      <c r="E31" s="18">
        <v>2699928</v>
      </c>
      <c r="F31" s="23">
        <v>-268291</v>
      </c>
      <c r="G31" s="24">
        <v>-0.09</v>
      </c>
    </row>
    <row r="32" spans="2:7" x14ac:dyDescent="0.3">
      <c r="B32" s="3" t="s">
        <v>34</v>
      </c>
      <c r="C32" s="4"/>
      <c r="D32" s="7">
        <v>285182</v>
      </c>
      <c r="E32" s="7">
        <v>294631</v>
      </c>
      <c r="F32" s="21">
        <v>9450</v>
      </c>
      <c r="G32" s="22">
        <v>3.3000000000000002E-2</v>
      </c>
    </row>
    <row r="33" spans="2:7" x14ac:dyDescent="0.3">
      <c r="B33" s="9" t="s">
        <v>33</v>
      </c>
      <c r="C33" s="10"/>
      <c r="D33" s="13">
        <v>2683037</v>
      </c>
      <c r="E33" s="13">
        <v>2405297</v>
      </c>
      <c r="F33" s="15">
        <v>-277741</v>
      </c>
      <c r="G33" s="14">
        <v>-0.104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 Salvador</dc:creator>
  <cp:lastModifiedBy>Dary Salvador</cp:lastModifiedBy>
  <dcterms:created xsi:type="dcterms:W3CDTF">2026-10-21T03:56:24Z</dcterms:created>
  <dcterms:modified xsi:type="dcterms:W3CDTF">2026-10-21T17:28:48Z</dcterms:modified>
</cp:coreProperties>
</file>